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trol Panel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Insights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_);(#,##0);&quot;-&quot;"/>
    <numFmt numFmtId="166" formatCode="0.0x"/>
  </numFmts>
  <fonts count="2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9C0006"/>
      <sz val="9"/>
    </font>
    <font>
      <name val="Arial"/>
      <i val="1"/>
      <color rgb="00008000"/>
      <sz val="9"/>
    </font>
    <font>
      <name val="Arial"/>
      <b val="1"/>
      <color rgb="00000000"/>
      <sz val="10"/>
    </font>
    <font>
      <name val="Arial"/>
      <b val="1"/>
      <color rgb="00595959"/>
      <sz val="10"/>
    </font>
    <font>
      <name val="Arial"/>
      <b val="1"/>
      <color rgb="00595959"/>
      <sz val="9"/>
    </font>
    <font>
      <name val="Arial"/>
      <b val="1"/>
      <i val="1"/>
      <color rgb="00000000"/>
      <sz val="9"/>
    </font>
    <font>
      <name val="Arial"/>
      <color rgb="00008000"/>
      <sz val="10"/>
    </font>
    <font>
      <name val="Arial"/>
      <b val="1"/>
      <color rgb="00000000"/>
      <sz val="12"/>
    </font>
    <font>
      <name val="Arial"/>
      <b val="1"/>
      <color rgb="00FFFFFF"/>
      <sz val="9"/>
    </font>
    <font>
      <name val="Arial"/>
      <i val="1"/>
      <color rgb="00AAAAAA"/>
      <sz val="9"/>
    </font>
    <font>
      <name val="Arial"/>
      <b val="1"/>
      <color rgb="001F4E79"/>
      <sz val="16"/>
    </font>
    <font>
      <name val="Arial"/>
      <b val="1"/>
      <color rgb="00000000"/>
      <sz val="11"/>
    </font>
    <font>
      <name val="Arial"/>
      <b val="1"/>
      <color rgb="001F4E79"/>
      <sz val="20"/>
    </font>
    <font>
      <name val="Arial"/>
      <i val="1"/>
      <color rgb="00595959"/>
      <sz val="10"/>
    </font>
    <font>
      <name val="Arial"/>
      <b val="1"/>
      <color rgb="001F4E79"/>
      <sz val="10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top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9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indent="1"/>
    </xf>
    <xf numFmtId="164" fontId="4" fillId="3" borderId="0" applyProtection="1" pivotButton="0" quotePrefix="0" xfId="0">
      <protection locked="0" hidden="0"/>
    </xf>
    <xf numFmtId="0" fontId="5" fillId="0" borderId="0" pivotButton="0" quotePrefix="0" xfId="0"/>
    <xf numFmtId="165" fontId="4" fillId="3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left" vertical="center" indent="1"/>
      <protection locked="0" hidden="0"/>
    </xf>
    <xf numFmtId="0" fontId="6" fillId="0" borderId="0" pivotButton="0" quotePrefix="0" xfId="0"/>
    <xf numFmtId="0" fontId="2" fillId="4" borderId="1" applyAlignment="1" pivotButton="0" quotePrefix="0" xfId="0">
      <alignment horizontal="left" vertical="center"/>
    </xf>
    <xf numFmtId="0" fontId="4" fillId="3" borderId="0" applyProtection="1" pivotButton="0" quotePrefix="0" xfId="0">
      <protection locked="0" hidden="0"/>
    </xf>
    <xf numFmtId="0" fontId="7" fillId="0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16" fillId="0" borderId="0" pivotButton="0" quotePrefix="0" xfId="0"/>
    <xf numFmtId="165" fontId="3" fillId="0" borderId="0" pivotButton="0" quotePrefix="0" xfId="0"/>
    <xf numFmtId="0" fontId="7" fillId="0" borderId="2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0" borderId="0" pivotButton="0" quotePrefix="0" xfId="0"/>
    <xf numFmtId="165" fontId="11" fillId="0" borderId="0" pivotButton="0" quotePrefix="0" xfId="0"/>
    <xf numFmtId="0" fontId="0" fillId="0" borderId="5" pivotButton="0" quotePrefix="0" xfId="0"/>
    <xf numFmtId="165" fontId="7" fillId="0" borderId="0" pivotButton="0" quotePrefix="0" xfId="0"/>
    <xf numFmtId="165" fontId="12" fillId="0" borderId="7" pivotButton="0" quotePrefix="0" xfId="0"/>
    <xf numFmtId="166" fontId="3" fillId="0" borderId="0" pivotButton="0" quotePrefix="0" xfId="0"/>
    <xf numFmtId="0" fontId="13" fillId="5" borderId="0" applyAlignment="1" pivotButton="0" quotePrefix="0" xfId="0">
      <alignment horizontal="left" vertical="center"/>
    </xf>
    <xf numFmtId="165" fontId="3" fillId="6" borderId="0" pivotButton="0" quotePrefix="0" xfId="0"/>
    <xf numFmtId="164" fontId="4" fillId="7" borderId="0" applyProtection="1" pivotButton="0" quotePrefix="0" xfId="0">
      <protection locked="0" hidden="0"/>
    </xf>
    <xf numFmtId="165" fontId="14" fillId="0" borderId="0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276221"/>
        <sz val="1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 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 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'P&amp;L'!$B$13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'P&amp;L'!$C$13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'P&amp;L'!$D$13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'P&amp;L'!$E$13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'P&amp;L'!$B$1:$F$1</f>
            </numRef>
          </cat>
          <val>
            <numRef>
              <f>'P&amp;L'!$F$13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%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'P&amp;L'!$B$1:$F$1</f>
            </numRef>
          </cat>
          <val>
            <numRef>
              <f>'Dashboard'!$B$35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'P&amp;L'!$B$1:$F$1</f>
            </numRef>
          </cat>
          <val>
            <numRef>
              <f>'Dashboard'!$C$35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'P&amp;L'!$B$1:$F$1</f>
            </numRef>
          </cat>
          <val>
            <numRef>
              <f>'Dashboard'!$D$35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'P&amp;L'!$B$1:$F$1</f>
            </numRef>
          </cat>
          <val>
            <numRef>
              <f>'Dashboard'!$E$35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'P&amp;L'!$B$1:$F$1</f>
            </numRef>
          </cat>
          <val>
            <numRef>
              <f>'Dashboard'!$F$35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56" customWidth="1" min="3" max="3"/>
  </cols>
  <sheetData>
    <row r="1" ht="36" customHeight="1">
      <c r="A1" s="1" t="inlineStr">
        <is>
          <t>📘  FINANCIAL MODEL</t>
        </is>
      </c>
    </row>
    <row r="2">
      <c r="A2" s="2" t="inlineStr">
        <is>
          <t>3-Statement model  ·  DCF Valuation  ·  Scenario Engine  ·  Sensitivity Analysis</t>
        </is>
      </c>
    </row>
    <row r="4">
      <c r="A4" s="3" t="inlineStr">
        <is>
          <t>Sheet</t>
        </is>
      </c>
      <c r="C4" s="3" t="inlineStr">
        <is>
          <t>What it does</t>
        </is>
      </c>
      <c r="D4" s="4" t="n"/>
    </row>
    <row r="5">
      <c r="A5" s="5" t="inlineStr">
        <is>
          <t xml:space="preserve">  1.  Control Panel</t>
        </is>
      </c>
      <c r="C5" s="6" t="inlineStr">
        <is>
          <t>Set assumptions (yellow cells) and pick a scenario from the dropdown. All sheets update.</t>
        </is>
      </c>
    </row>
    <row r="6">
      <c r="A6" s="5" t="inlineStr">
        <is>
          <t xml:space="preserve">  2.  P&amp;L</t>
        </is>
      </c>
      <c r="C6" s="6" t="inlineStr">
        <is>
          <t>Revenue → Gross Profit → EBITDA → Net Income across all forecast years.</t>
        </is>
      </c>
    </row>
    <row r="7">
      <c r="A7" s="5" t="inlineStr">
        <is>
          <t xml:space="preserve">  3.  Balance Sheet</t>
        </is>
      </c>
      <c r="C7" s="6" t="inlineStr">
        <is>
          <t>Assets = Liabilities + Equity every year. Green balance check = model is correct.</t>
        </is>
      </c>
    </row>
    <row r="8">
      <c r="A8" s="5" t="inlineStr">
        <is>
          <t xml:space="preserve">  4.  Cash Flow</t>
        </is>
      </c>
      <c r="C8" s="6" t="inlineStr">
        <is>
          <t>Indirect method: Net Income reconciled to ending cash. Ties back to Balance Sheet.</t>
        </is>
      </c>
    </row>
    <row r="9">
      <c r="A9" s="5" t="inlineStr">
        <is>
          <t xml:space="preserve">  5.  Valuation</t>
        </is>
      </c>
      <c r="C9" s="6" t="inlineStr">
        <is>
          <t>Unlevered FCFF DCF → Terminal Value → Enterprise Value → Equity Value. Multiples shown.</t>
        </is>
      </c>
    </row>
    <row r="10">
      <c r="A10" s="5" t="inlineStr">
        <is>
          <t xml:space="preserve">  6.  Sensitivity</t>
        </is>
      </c>
      <c r="C10" s="6" t="inlineStr">
        <is>
          <t>Data Table: vary Revenue Growth × COGS % to stress-test Year 5 Net Income.</t>
        </is>
      </c>
    </row>
    <row r="11">
      <c r="A11" s="5" t="inlineStr">
        <is>
          <t xml:space="preserve">  7.  Insights</t>
        </is>
      </c>
      <c r="C11" s="6" t="inlineStr">
        <is>
          <t>KPIs — margins, CAGR, break-even year, cash runway, balance &amp; reconciliation checks.</t>
        </is>
      </c>
    </row>
    <row r="12">
      <c r="A12" s="5" t="inlineStr">
        <is>
          <t xml:space="preserve">  8.  Dashboard</t>
        </is>
      </c>
      <c r="C12" s="6" t="inlineStr">
        <is>
          <t>Charts: Revenue, Net Income, EBITDA Margin across all forecast years.</t>
        </is>
      </c>
    </row>
    <row r="14">
      <c r="A14" s="7" t="inlineStr">
        <is>
          <t>Color coding</t>
        </is>
      </c>
    </row>
    <row r="15">
      <c r="A15" s="6" t="inlineStr">
        <is>
          <t xml:space="preserve">  Blue text on yellow</t>
        </is>
      </c>
      <c r="C15" s="6" t="inlineStr">
        <is>
          <t>Hardcoded input — safe to change</t>
        </is>
      </c>
    </row>
    <row r="16">
      <c r="A16" s="6" t="inlineStr">
        <is>
          <t xml:space="preserve">  Black text</t>
        </is>
      </c>
      <c r="C16" s="6" t="inlineStr">
        <is>
          <t>Formula — do not edit</t>
        </is>
      </c>
    </row>
    <row r="17">
      <c r="A17" s="6" t="inlineStr">
        <is>
          <t xml:space="preserve">  Green text</t>
        </is>
      </c>
      <c r="C17" s="6" t="inlineStr">
        <is>
          <t>Cross-sheet link — do not edit</t>
        </is>
      </c>
    </row>
    <row r="19">
      <c r="A19" s="7" t="inlineStr">
        <is>
          <t>Sensitivity note</t>
        </is>
      </c>
      <c r="C19" s="2" t="inlineStr">
        <is>
          <t>After opening, go to Sensitivity sheet, select B3:H10, Data → What-If Analysis → Data Table. Row input = Control Panel B24, Col input = Control Panel B25.</t>
        </is>
      </c>
    </row>
    <row r="21">
      <c r="A21" s="8" t="inlineStr">
        <is>
          <t>Version</t>
        </is>
      </c>
      <c r="C21" s="9" t="inlineStr">
        <is>
          <t>4.0</t>
        </is>
      </c>
    </row>
    <row r="22">
      <c r="A22" s="8" t="inlineStr">
        <is>
          <t>Author</t>
        </is>
      </c>
      <c r="C22" s="9" t="inlineStr">
        <is>
          <t>Abdallah</t>
        </is>
      </c>
    </row>
    <row r="23">
      <c r="A23" s="8" t="inlineStr">
        <is>
          <t>Date</t>
        </is>
      </c>
      <c r="C23" s="9" t="inlineStr">
        <is>
          <t>2026</t>
        </is>
      </c>
    </row>
  </sheetData>
  <mergeCells count="15">
    <mergeCell ref="A1:D1"/>
    <mergeCell ref="C12:D12"/>
    <mergeCell ref="C6:D6"/>
    <mergeCell ref="C7:D7"/>
    <mergeCell ref="C10:D10"/>
    <mergeCell ref="C16:D16"/>
    <mergeCell ref="C15:D15"/>
    <mergeCell ref="C11:D11"/>
    <mergeCell ref="C5:D5"/>
    <mergeCell ref="C19:D19"/>
    <mergeCell ref="A2:D2"/>
    <mergeCell ref="C9:D9"/>
    <mergeCell ref="C17:D17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6" customWidth="1" min="3" max="3"/>
    <col width="12" customWidth="1" min="4" max="4"/>
  </cols>
  <sheetData>
    <row r="1" ht="28" customHeight="1">
      <c r="A1" s="10" t="inlineStr">
        <is>
          <t>FINANCIAL MODEL – CONTROL PANEL</t>
        </is>
      </c>
    </row>
    <row r="2">
      <c r="A2" s="3" t="inlineStr">
        <is>
          <t>Assumption</t>
        </is>
      </c>
      <c r="B2" s="3" t="inlineStr">
        <is>
          <t>Value</t>
        </is>
      </c>
      <c r="C2" s="3" t="inlineStr">
        <is>
          <t>Flag</t>
        </is>
      </c>
    </row>
    <row r="3">
      <c r="A3" s="11" t="inlineStr">
        <is>
          <t>R&amp;D % of Revenue</t>
        </is>
      </c>
      <c r="B3" s="12" t="n">
        <v>0.12</v>
      </c>
      <c r="C3" s="13">
        <f>IF($B$3&gt;0.20,"⚠ R&amp;D &gt; 20% is very high","")</f>
        <v/>
      </c>
    </row>
    <row r="4">
      <c r="A4" s="11" t="inlineStr">
        <is>
          <t>SG&amp;A % of Revenue</t>
        </is>
      </c>
      <c r="B4" s="12" t="n">
        <v>0.15</v>
      </c>
      <c r="C4" s="13">
        <f>IF($B$4&gt;0.30,"⚠ SG&amp;A &gt; 30% — watch opex","")</f>
        <v/>
      </c>
    </row>
    <row r="5">
      <c r="A5" s="11" t="inlineStr">
        <is>
          <t>Tax Rate</t>
        </is>
      </c>
      <c r="B5" s="12" t="n">
        <v>0.21</v>
      </c>
      <c r="C5" s="13">
        <f>IF($B$5&gt;0.35,"⚠ Tax rate above 35%","")</f>
        <v/>
      </c>
    </row>
    <row r="6">
      <c r="A6" s="11" t="inlineStr">
        <is>
          <t>Depreciation Rate (PP&amp;E)</t>
        </is>
      </c>
      <c r="B6" s="12" t="n">
        <v>0.1</v>
      </c>
      <c r="C6" s="13">
        <f>IF($B$6&gt;0.20,"⚠ Very rapid depreciation","")</f>
        <v/>
      </c>
    </row>
    <row r="7">
      <c r="A7" s="11" t="inlineStr">
        <is>
          <t>Capex % of Revenue</t>
        </is>
      </c>
      <c r="B7" s="12" t="n">
        <v>0.05</v>
      </c>
      <c r="C7" s="13">
        <f>IF($B$7&gt;0.15,"⚠ Capex &gt; 15% of revenue","")</f>
        <v/>
      </c>
    </row>
    <row r="8">
      <c r="A8" s="11" t="inlineStr">
        <is>
          <t>DSO (days)</t>
        </is>
      </c>
      <c r="B8" s="14" t="n">
        <v>45</v>
      </c>
    </row>
    <row r="9">
      <c r="A9" s="11" t="inlineStr">
        <is>
          <t>DIO (days)</t>
        </is>
      </c>
      <c r="B9" s="14" t="n">
        <v>60</v>
      </c>
    </row>
    <row r="10">
      <c r="A10" s="11" t="inlineStr">
        <is>
          <t>DPO (days)</t>
        </is>
      </c>
      <c r="B10" s="14" t="n">
        <v>30</v>
      </c>
    </row>
    <row r="11">
      <c r="A11" s="11" t="inlineStr">
        <is>
          <t>Interest Rate on Debt</t>
        </is>
      </c>
      <c r="B11" s="12" t="n">
        <v>0.05</v>
      </c>
      <c r="C11" s="13">
        <f>IF($B$11&gt;0.10,"⚠ Interest rate above 10%","")</f>
        <v/>
      </c>
    </row>
    <row r="12">
      <c r="A12" s="11" t="inlineStr">
        <is>
          <t>Annual Debt Repayment</t>
        </is>
      </c>
      <c r="B12" s="14" t="n">
        <v>0</v>
      </c>
    </row>
    <row r="13">
      <c r="A13" s="11" t="inlineStr">
        <is>
          <t>WACC</t>
        </is>
      </c>
      <c r="B13" s="12" t="n">
        <v>0.09</v>
      </c>
      <c r="C13" s="13">
        <f>IF($B$13&gt;0.15,"⚠ WACC &gt; 15% is very high","")</f>
        <v/>
      </c>
    </row>
    <row r="14">
      <c r="A14" s="11" t="inlineStr">
        <is>
          <t>Perpetual Growth Rate</t>
        </is>
      </c>
      <c r="B14" s="12" t="n">
        <v>0.025</v>
      </c>
      <c r="C14" s="13">
        <f>IF($B$14&gt;=$B$13,"⚠ g ≥ WACC → Terminal Value invalid","")</f>
        <v/>
      </c>
    </row>
    <row r="17">
      <c r="A17" s="3" t="inlineStr">
        <is>
          <t>Scenario</t>
        </is>
      </c>
      <c r="B17" s="3" t="inlineStr">
        <is>
          <t>Revenue Growth</t>
        </is>
      </c>
      <c r="C17" s="3" t="inlineStr">
        <is>
          <t>COGS %</t>
        </is>
      </c>
    </row>
    <row r="18">
      <c r="A18" s="15" t="inlineStr">
        <is>
          <t>Base</t>
        </is>
      </c>
      <c r="B18" s="12" t="n">
        <v>0.1</v>
      </c>
      <c r="C18" s="12" t="n">
        <v>0.45</v>
      </c>
      <c r="D18" s="16">
        <f>IF($B$23=$A$18,"◀ active","")</f>
        <v/>
      </c>
    </row>
    <row r="19">
      <c r="A19" s="15" t="inlineStr">
        <is>
          <t>Best</t>
        </is>
      </c>
      <c r="B19" s="12" t="n">
        <v>0.18</v>
      </c>
      <c r="C19" s="12" t="n">
        <v>0.4</v>
      </c>
      <c r="D19" s="16">
        <f>IF($B$23=$A$19,"◀ active","")</f>
        <v/>
      </c>
    </row>
    <row r="20">
      <c r="A20" s="15" t="inlineStr">
        <is>
          <t>Worst</t>
        </is>
      </c>
      <c r="B20" s="12" t="n">
        <v>0.04</v>
      </c>
      <c r="C20" s="12" t="n">
        <v>0.55</v>
      </c>
      <c r="D20" s="16">
        <f>IF($B$23=$A$20,"◀ active","")</f>
        <v/>
      </c>
    </row>
    <row r="23">
      <c r="A23" s="17" t="inlineStr">
        <is>
          <t>▶  Active Scenario</t>
        </is>
      </c>
      <c r="B23" s="18" t="inlineStr">
        <is>
          <t>Base</t>
        </is>
      </c>
    </row>
    <row r="24">
      <c r="A24" s="19" t="inlineStr">
        <is>
          <t>Effective Revenue Growth</t>
        </is>
      </c>
      <c r="B24" s="20">
        <f>INDEX($B$18:$B$20,MATCH($B$23,$A$18:$A$20,0))</f>
        <v/>
      </c>
    </row>
    <row r="25">
      <c r="A25" s="19" t="inlineStr">
        <is>
          <t>Effective COGS %</t>
        </is>
      </c>
      <c r="B25" s="20">
        <f>INDEX($C$18:$C$20,MATCH($B$23,$A$18:$A$20,0))</f>
        <v/>
      </c>
    </row>
    <row r="27">
      <c r="A27" s="19" t="inlineStr">
        <is>
          <t>Model Health</t>
        </is>
      </c>
      <c r="B27" s="21">
        <f>IF(ABS(SUM('Balance Sheet'!$B$14:$F$14))&lt;1,"✅  HEALTHY","❌  BALANCE ERROR")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F1"/>
  </mergeCells>
  <dataValidations count="1">
    <dataValidation sqref="B23" showDropDown="0" showInputMessage="0" showErrorMessage="0" allowBlank="0" type="list">
      <formula1>=$A$18:$A$20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Line Item (USD)</t>
        </is>
      </c>
      <c r="B1" s="3" t="inlineStr">
        <is>
          <t>Year 1</t>
        </is>
      </c>
      <c r="C1" s="3" t="inlineStr">
        <is>
          <t>Year 2</t>
        </is>
      </c>
      <c r="D1" s="3" t="inlineStr">
        <is>
          <t>Year 3</t>
        </is>
      </c>
      <c r="E1" s="3" t="inlineStr">
        <is>
          <t>Year 4</t>
        </is>
      </c>
      <c r="F1" s="3" t="inlineStr">
        <is>
          <t>Year 5</t>
        </is>
      </c>
    </row>
    <row r="2">
      <c r="A2" s="11" t="inlineStr">
        <is>
          <t>Revenue</t>
        </is>
      </c>
      <c r="B2" s="14" t="n">
        <v>1000000</v>
      </c>
      <c r="C2" s="22">
        <f>'P&amp;L'!$B$2*(1+'Control Panel'!$B$24)</f>
        <v/>
      </c>
      <c r="D2" s="22">
        <f>'P&amp;L'!$C$2*(1+'Control Panel'!$B$24)</f>
        <v/>
      </c>
      <c r="E2" s="22">
        <f>'P&amp;L'!$D$2*(1+'Control Panel'!$B$24)</f>
        <v/>
      </c>
      <c r="F2" s="22">
        <f>'P&amp;L'!$E$2*(1+'Control Panel'!$B$24)</f>
        <v/>
      </c>
    </row>
    <row r="3">
      <c r="A3" s="11" t="inlineStr">
        <is>
          <t xml:space="preserve">  Cost of Goods Sold</t>
        </is>
      </c>
      <c r="B3" s="22">
        <f>'P&amp;L'!$B$2*'Control Panel'!$B$25</f>
        <v/>
      </c>
      <c r="C3" s="22">
        <f>'P&amp;L'!$C$2*'Control Panel'!$B$25</f>
        <v/>
      </c>
      <c r="D3" s="22">
        <f>'P&amp;L'!$D$2*'Control Panel'!$B$25</f>
        <v/>
      </c>
      <c r="E3" s="22">
        <f>'P&amp;L'!$E$2*'Control Panel'!$B$25</f>
        <v/>
      </c>
      <c r="F3" s="22">
        <f>'P&amp;L'!$F$2*'Control Panel'!$B$25</f>
        <v/>
      </c>
    </row>
    <row r="4">
      <c r="A4" s="23" t="inlineStr">
        <is>
          <t>Gross Profit</t>
        </is>
      </c>
      <c r="B4" s="22">
        <f>'P&amp;L'!$B$2-'P&amp;L'!$B$3</f>
        <v/>
      </c>
      <c r="C4" s="22">
        <f>'P&amp;L'!$C$2-'P&amp;L'!$C$3</f>
        <v/>
      </c>
      <c r="D4" s="22">
        <f>'P&amp;L'!$D$2-'P&amp;L'!$D$3</f>
        <v/>
      </c>
      <c r="E4" s="22">
        <f>'P&amp;L'!$E$2-'P&amp;L'!$E$3</f>
        <v/>
      </c>
      <c r="F4" s="22">
        <f>'P&amp;L'!$F$2-'P&amp;L'!$F$3</f>
        <v/>
      </c>
    </row>
    <row r="5">
      <c r="A5" s="11" t="inlineStr">
        <is>
          <t xml:space="preserve">  R&amp;D Expense</t>
        </is>
      </c>
      <c r="B5" s="22">
        <f>'P&amp;L'!$B$2*'Control Panel'!$B$3</f>
        <v/>
      </c>
      <c r="C5" s="22">
        <f>'P&amp;L'!$C$2*'Control Panel'!$B$3</f>
        <v/>
      </c>
      <c r="D5" s="22">
        <f>'P&amp;L'!$D$2*'Control Panel'!$B$3</f>
        <v/>
      </c>
      <c r="E5" s="22">
        <f>'P&amp;L'!$E$2*'Control Panel'!$B$3</f>
        <v/>
      </c>
      <c r="F5" s="22">
        <f>'P&amp;L'!$F$2*'Control Panel'!$B$3</f>
        <v/>
      </c>
    </row>
    <row r="6">
      <c r="A6" s="11" t="inlineStr">
        <is>
          <t xml:space="preserve">  SG&amp;A Expense</t>
        </is>
      </c>
      <c r="B6" s="22">
        <f>'P&amp;L'!$B$2*'Control Panel'!$B$4</f>
        <v/>
      </c>
      <c r="C6" s="22">
        <f>'P&amp;L'!$C$2*'Control Panel'!$B$4</f>
        <v/>
      </c>
      <c r="D6" s="22">
        <f>'P&amp;L'!$D$2*'Control Panel'!$B$4</f>
        <v/>
      </c>
      <c r="E6" s="22">
        <f>'P&amp;L'!$E$2*'Control Panel'!$B$4</f>
        <v/>
      </c>
      <c r="F6" s="22">
        <f>'P&amp;L'!$F$2*'Control Panel'!$B$4</f>
        <v/>
      </c>
    </row>
    <row r="7">
      <c r="A7" s="23" t="inlineStr">
        <is>
          <t>EBITDA</t>
        </is>
      </c>
      <c r="B7" s="22">
        <f>'P&amp;L'!$B$4-'P&amp;L'!$B$5-'P&amp;L'!$B$6</f>
        <v/>
      </c>
      <c r="C7" s="22">
        <f>'P&amp;L'!$C$4-'P&amp;L'!$C$5-'P&amp;L'!$C$6</f>
        <v/>
      </c>
      <c r="D7" s="22">
        <f>'P&amp;L'!$D$4-'P&amp;L'!$D$5-'P&amp;L'!$D$6</f>
        <v/>
      </c>
      <c r="E7" s="22">
        <f>'P&amp;L'!$E$4-'P&amp;L'!$E$5-'P&amp;L'!$E$6</f>
        <v/>
      </c>
      <c r="F7" s="22">
        <f>'P&amp;L'!$F$4-'P&amp;L'!$F$5-'P&amp;L'!$F$6</f>
        <v/>
      </c>
    </row>
    <row r="8">
      <c r="A8" s="11" t="inlineStr">
        <is>
          <t xml:space="preserve">  Depreciation &amp; Amortization</t>
        </is>
      </c>
      <c r="B8" s="22">
        <f>500000*'Control Panel'!$B$6</f>
        <v/>
      </c>
      <c r="C8" s="22">
        <f>'Balance Sheet'!$B$5*'Control Panel'!$B$6</f>
        <v/>
      </c>
      <c r="D8" s="22">
        <f>'Balance Sheet'!$C$5*'Control Panel'!$B$6</f>
        <v/>
      </c>
      <c r="E8" s="22">
        <f>'Balance Sheet'!$D$5*'Control Panel'!$B$6</f>
        <v/>
      </c>
      <c r="F8" s="22">
        <f>'Balance Sheet'!$E$5*'Control Panel'!$B$6</f>
        <v/>
      </c>
    </row>
    <row r="9">
      <c r="A9" s="23" t="inlineStr">
        <is>
          <t>EBIT</t>
        </is>
      </c>
      <c r="B9" s="22">
        <f>'P&amp;L'!$B$7-'P&amp;L'!$B$8</f>
        <v/>
      </c>
      <c r="C9" s="22">
        <f>'P&amp;L'!$C$7-'P&amp;L'!$C$8</f>
        <v/>
      </c>
      <c r="D9" s="22">
        <f>'P&amp;L'!$D$7-'P&amp;L'!$D$8</f>
        <v/>
      </c>
      <c r="E9" s="22">
        <f>'P&amp;L'!$E$7-'P&amp;L'!$E$8</f>
        <v/>
      </c>
      <c r="F9" s="22">
        <f>'P&amp;L'!$F$7-'P&amp;L'!$F$8</f>
        <v/>
      </c>
    </row>
    <row r="10">
      <c r="A10" s="11" t="inlineStr">
        <is>
          <t xml:space="preserve">  Interest Expense</t>
        </is>
      </c>
      <c r="B10" s="22">
        <f>200000*'Control Panel'!$B$11</f>
        <v/>
      </c>
      <c r="C10" s="22">
        <f>'Balance Sheet'!$B$9*'Control Panel'!$B$11</f>
        <v/>
      </c>
      <c r="D10" s="22">
        <f>'Balance Sheet'!$C$9*'Control Panel'!$B$11</f>
        <v/>
      </c>
      <c r="E10" s="22">
        <f>'Balance Sheet'!$D$9*'Control Panel'!$B$11</f>
        <v/>
      </c>
      <c r="F10" s="22">
        <f>'Balance Sheet'!$E$9*'Control Panel'!$B$11</f>
        <v/>
      </c>
    </row>
    <row r="11">
      <c r="A11" s="23" t="inlineStr">
        <is>
          <t>EBT</t>
        </is>
      </c>
      <c r="B11" s="22">
        <f>'P&amp;L'!$B$9-'P&amp;L'!$B$10</f>
        <v/>
      </c>
      <c r="C11" s="22">
        <f>'P&amp;L'!$C$9-'P&amp;L'!$C$10</f>
        <v/>
      </c>
      <c r="D11" s="22">
        <f>'P&amp;L'!$D$9-'P&amp;L'!$D$10</f>
        <v/>
      </c>
      <c r="E11" s="22">
        <f>'P&amp;L'!$E$9-'P&amp;L'!$E$10</f>
        <v/>
      </c>
      <c r="F11" s="22">
        <f>'P&amp;L'!$F$9-'P&amp;L'!$F$10</f>
        <v/>
      </c>
    </row>
    <row r="12">
      <c r="A12" s="11" t="inlineStr">
        <is>
          <t xml:space="preserve">  Income Taxes</t>
        </is>
      </c>
      <c r="B12" s="22">
        <f>MAX('P&amp;L'!$B$11*'Control Panel'!$B$5,0)</f>
        <v/>
      </c>
      <c r="C12" s="22">
        <f>MAX('P&amp;L'!$C$11*'Control Panel'!$B$5,0)</f>
        <v/>
      </c>
      <c r="D12" s="22">
        <f>MAX('P&amp;L'!$D$11*'Control Panel'!$B$5,0)</f>
        <v/>
      </c>
      <c r="E12" s="22">
        <f>MAX('P&amp;L'!$E$11*'Control Panel'!$B$5,0)</f>
        <v/>
      </c>
      <c r="F12" s="22">
        <f>MAX('P&amp;L'!$F$11*'Control Panel'!$B$5,0)</f>
        <v/>
      </c>
    </row>
    <row r="13">
      <c r="A13" s="23" t="inlineStr">
        <is>
          <t>Net Income</t>
        </is>
      </c>
      <c r="B13" s="22">
        <f>'P&amp;L'!$B$11-'P&amp;L'!$B$12</f>
        <v/>
      </c>
      <c r="C13" s="22">
        <f>'P&amp;L'!$C$11-'P&amp;L'!$C$12</f>
        <v/>
      </c>
      <c r="D13" s="22">
        <f>'P&amp;L'!$D$11-'P&amp;L'!$D$12</f>
        <v/>
      </c>
      <c r="E13" s="22">
        <f>'P&amp;L'!$E$11-'P&amp;L'!$E$12</f>
        <v/>
      </c>
      <c r="F13" s="22">
        <f>'P&amp;L'!$F$11-'P&amp;L'!$F$12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Line Item (USD)</t>
        </is>
      </c>
      <c r="B1" s="3" t="inlineStr">
        <is>
          <t>Year 1</t>
        </is>
      </c>
      <c r="C1" s="3" t="inlineStr">
        <is>
          <t>Year 2</t>
        </is>
      </c>
      <c r="D1" s="3" t="inlineStr">
        <is>
          <t>Year 3</t>
        </is>
      </c>
      <c r="E1" s="3" t="inlineStr">
        <is>
          <t>Year 4</t>
        </is>
      </c>
      <c r="F1" s="3" t="inlineStr">
        <is>
          <t>Year 5</t>
        </is>
      </c>
    </row>
    <row r="2">
      <c r="A2" s="11" t="inlineStr">
        <is>
          <t>Cash &amp; Equivalents</t>
        </is>
      </c>
      <c r="B2" s="14" t="n">
        <v>150000</v>
      </c>
      <c r="C2" s="22">
        <f>'Balance Sheet'!$B$2+'Cash Flow'!$C$12</f>
        <v/>
      </c>
      <c r="D2" s="22">
        <f>'Balance Sheet'!$C$2+'Cash Flow'!$D$12</f>
        <v/>
      </c>
      <c r="E2" s="22">
        <f>'Balance Sheet'!$D$2+'Cash Flow'!$E$12</f>
        <v/>
      </c>
      <c r="F2" s="22">
        <f>'Balance Sheet'!$E$2+'Cash Flow'!$F$12</f>
        <v/>
      </c>
    </row>
    <row r="3">
      <c r="A3" s="11" t="inlineStr">
        <is>
          <t xml:space="preserve">  Accounts Receivable</t>
        </is>
      </c>
      <c r="B3" s="22">
        <f>(('P&amp;L'!$B$2+'P&amp;L'!$B$2)/2)*'Control Panel'!$B$8/365</f>
        <v/>
      </c>
      <c r="C3" s="22">
        <f>(('P&amp;L'!$C$2+'P&amp;L'!$B$2)/2)*'Control Panel'!$B$8/365</f>
        <v/>
      </c>
      <c r="D3" s="22">
        <f>(('P&amp;L'!$D$2+'P&amp;L'!$C$2)/2)*'Control Panel'!$B$8/365</f>
        <v/>
      </c>
      <c r="E3" s="22">
        <f>(('P&amp;L'!$E$2+'P&amp;L'!$D$2)/2)*'Control Panel'!$B$8/365</f>
        <v/>
      </c>
      <c r="F3" s="22">
        <f>(('P&amp;L'!$F$2+'P&amp;L'!$E$2)/2)*'Control Panel'!$B$8/365</f>
        <v/>
      </c>
    </row>
    <row r="4">
      <c r="A4" s="11" t="inlineStr">
        <is>
          <t xml:space="preserve">  Inventory</t>
        </is>
      </c>
      <c r="B4" s="22">
        <f>(('P&amp;L'!$B$3+'P&amp;L'!$B$3)/2)*'Control Panel'!$B$9/365</f>
        <v/>
      </c>
      <c r="C4" s="22">
        <f>(('P&amp;L'!$C$3+'P&amp;L'!$B$3)/2)*'Control Panel'!$B$9/365</f>
        <v/>
      </c>
      <c r="D4" s="22">
        <f>(('P&amp;L'!$D$3+'P&amp;L'!$C$3)/2)*'Control Panel'!$B$9/365</f>
        <v/>
      </c>
      <c r="E4" s="22">
        <f>(('P&amp;L'!$E$3+'P&amp;L'!$D$3)/2)*'Control Panel'!$B$9/365</f>
        <v/>
      </c>
      <c r="F4" s="22">
        <f>(('P&amp;L'!$F$3+'P&amp;L'!$E$3)/2)*'Control Panel'!$B$9/365</f>
        <v/>
      </c>
    </row>
    <row r="5">
      <c r="A5" s="11" t="inlineStr">
        <is>
          <t xml:space="preserve">  PP&amp;E, net</t>
        </is>
      </c>
      <c r="B5" s="14" t="n">
        <v>500000</v>
      </c>
      <c r="C5" s="22">
        <f>'Balance Sheet'!$B$5-('Cash Flow'!$C$8)-'P&amp;L'!$C$8</f>
        <v/>
      </c>
      <c r="D5" s="22">
        <f>'Balance Sheet'!$C$5-('Cash Flow'!$D$8)-'P&amp;L'!$D$8</f>
        <v/>
      </c>
      <c r="E5" s="22">
        <f>'Balance Sheet'!$D$5-('Cash Flow'!$E$8)-'P&amp;L'!$E$8</f>
        <v/>
      </c>
      <c r="F5" s="22">
        <f>'Balance Sheet'!$E$5-('Cash Flow'!$F$8)-'P&amp;L'!$F$8</f>
        <v/>
      </c>
    </row>
    <row r="6">
      <c r="A6" s="23" t="inlineStr">
        <is>
          <t>Total Assets</t>
        </is>
      </c>
      <c r="B6" s="22">
        <f>'Balance Sheet'!$B$2+'Balance Sheet'!$B$3+'Balance Sheet'!$B$4+'Balance Sheet'!$B$5</f>
        <v/>
      </c>
      <c r="C6" s="22">
        <f>'Balance Sheet'!$C$2+'Balance Sheet'!$C$3+'Balance Sheet'!$C$4+'Balance Sheet'!$C$5</f>
        <v/>
      </c>
      <c r="D6" s="22">
        <f>'Balance Sheet'!$D$2+'Balance Sheet'!$D$3+'Balance Sheet'!$D$4+'Balance Sheet'!$D$5</f>
        <v/>
      </c>
      <c r="E6" s="22">
        <f>'Balance Sheet'!$E$2+'Balance Sheet'!$E$3+'Balance Sheet'!$E$4+'Balance Sheet'!$E$5</f>
        <v/>
      </c>
      <c r="F6" s="22">
        <f>'Balance Sheet'!$F$2+'Balance Sheet'!$F$3+'Balance Sheet'!$F$4+'Balance Sheet'!$F$5</f>
        <v/>
      </c>
    </row>
    <row r="7">
      <c r="A7" s="24" t="inlineStr">
        <is>
          <t>LIABILITIES &amp; EQUITY</t>
        </is>
      </c>
    </row>
    <row r="8">
      <c r="A8" s="11" t="inlineStr">
        <is>
          <t xml:space="preserve">  Accounts Payable</t>
        </is>
      </c>
      <c r="B8" s="22">
        <f>(('P&amp;L'!$B$3+'P&amp;L'!$B$3)/2)*'Control Panel'!$B$10/365</f>
        <v/>
      </c>
      <c r="C8" s="22">
        <f>(('P&amp;L'!$C$3+'P&amp;L'!$B$3)/2)*'Control Panel'!$B$10/365</f>
        <v/>
      </c>
      <c r="D8" s="22">
        <f>(('P&amp;L'!$D$3+'P&amp;L'!$C$3)/2)*'Control Panel'!$B$10/365</f>
        <v/>
      </c>
      <c r="E8" s="22">
        <f>(('P&amp;L'!$E$3+'P&amp;L'!$D$3)/2)*'Control Panel'!$B$10/365</f>
        <v/>
      </c>
      <c r="F8" s="22">
        <f>(('P&amp;L'!$F$3+'P&amp;L'!$E$3)/2)*'Control Panel'!$B$10/365</f>
        <v/>
      </c>
    </row>
    <row r="9">
      <c r="A9" s="11" t="inlineStr">
        <is>
          <t xml:space="preserve">  Debt</t>
        </is>
      </c>
      <c r="B9" s="14" t="n">
        <v>200000</v>
      </c>
      <c r="C9" s="22">
        <f>MAX(0,'Balance Sheet'!$B$9-'Control Panel'!$B$12)</f>
        <v/>
      </c>
      <c r="D9" s="22">
        <f>MAX(0,'Balance Sheet'!$C$9-'Control Panel'!$B$12)</f>
        <v/>
      </c>
      <c r="E9" s="22">
        <f>MAX(0,'Balance Sheet'!$D$9-'Control Panel'!$B$12)</f>
        <v/>
      </c>
      <c r="F9" s="22">
        <f>MAX(0,'Balance Sheet'!$E$9-'Control Panel'!$B$12)</f>
        <v/>
      </c>
    </row>
    <row r="10">
      <c r="A10" s="11" t="inlineStr">
        <is>
          <t xml:space="preserve">  Paid-In Capital</t>
        </is>
      </c>
      <c r="B10" s="22">
        <f>'Balance Sheet'!$B$6-'Balance Sheet'!$B$8-'Balance Sheet'!$B$9-'Balance Sheet'!$B$11</f>
        <v/>
      </c>
      <c r="C10" s="22">
        <f>'Balance Sheet'!$B$10</f>
        <v/>
      </c>
      <c r="D10" s="22">
        <f>'Balance Sheet'!$B$10</f>
        <v/>
      </c>
      <c r="E10" s="22">
        <f>'Balance Sheet'!$B$10</f>
        <v/>
      </c>
      <c r="F10" s="22">
        <f>'Balance Sheet'!$B$10</f>
        <v/>
      </c>
    </row>
    <row r="11">
      <c r="A11" s="11" t="inlineStr">
        <is>
          <t xml:space="preserve">  Retained Earnings</t>
        </is>
      </c>
      <c r="B11" s="22">
        <f>'P&amp;L'!$B$13</f>
        <v/>
      </c>
      <c r="C11" s="22">
        <f>'Balance Sheet'!$B$11+'P&amp;L'!$C$13</f>
        <v/>
      </c>
      <c r="D11" s="22">
        <f>'Balance Sheet'!$C$11+'P&amp;L'!$D$13</f>
        <v/>
      </c>
      <c r="E11" s="22">
        <f>'Balance Sheet'!$D$11+'P&amp;L'!$E$13</f>
        <v/>
      </c>
      <c r="F11" s="22">
        <f>'Balance Sheet'!$E$11+'P&amp;L'!$F$13</f>
        <v/>
      </c>
    </row>
    <row r="12">
      <c r="A12" s="23" t="inlineStr">
        <is>
          <t>Total Liabilities &amp; Equity</t>
        </is>
      </c>
      <c r="B12" s="22">
        <f>'Balance Sheet'!$B$8+'Balance Sheet'!$B$9+'Balance Sheet'!$B$10+'Balance Sheet'!$B$11</f>
        <v/>
      </c>
      <c r="C12" s="22">
        <f>'Balance Sheet'!$C$8+'Balance Sheet'!$C$9+'Balance Sheet'!$C$10+'Balance Sheet'!$C$11</f>
        <v/>
      </c>
      <c r="D12" s="22">
        <f>'Balance Sheet'!$D$8+'Balance Sheet'!$D$9+'Balance Sheet'!$D$10+'Balance Sheet'!$D$11</f>
        <v/>
      </c>
      <c r="E12" s="22">
        <f>'Balance Sheet'!$E$8+'Balance Sheet'!$E$9+'Balance Sheet'!$E$10+'Balance Sheet'!$E$11</f>
        <v/>
      </c>
      <c r="F12" s="22">
        <f>'Balance Sheet'!$F$8+'Balance Sheet'!$F$9+'Balance Sheet'!$F$10+'Balance Sheet'!$F$11</f>
        <v/>
      </c>
    </row>
    <row r="14">
      <c r="A14" s="25" t="inlineStr">
        <is>
          <t>Balance Check  (must = 0)</t>
        </is>
      </c>
      <c r="B14" s="22">
        <f>'Balance Sheet'!$B$6-'Balance Sheet'!$B$12</f>
        <v/>
      </c>
      <c r="C14" s="22">
        <f>'Balance Sheet'!$C$6-'Balance Sheet'!$C$12</f>
        <v/>
      </c>
      <c r="D14" s="22">
        <f>'Balance Sheet'!$D$6-'Balance Sheet'!$D$12</f>
        <v/>
      </c>
      <c r="E14" s="22">
        <f>'Balance Sheet'!$E$6-'Balance Sheet'!$E$12</f>
        <v/>
      </c>
      <c r="F14" s="22">
        <f>'Balance Sheet'!$F$6-'Balance Sheet'!$F$12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4">
    <cfRule type="cellIs" priority="1" operator="notEqual" dxfId="0">
      <formula>0</formula>
    </cfRule>
    <cfRule type="cellIs" priority="2" operator="equal" dxfId="1">
      <formula>0</formula>
    </cfRule>
  </conditionalFormatting>
  <conditionalFormatting sqref="C14">
    <cfRule type="cellIs" priority="3" operator="notEqual" dxfId="0">
      <formula>0</formula>
    </cfRule>
    <cfRule type="cellIs" priority="4" operator="equal" dxfId="1">
      <formula>0</formula>
    </cfRule>
  </conditionalFormatting>
  <conditionalFormatting sqref="D14">
    <cfRule type="cellIs" priority="5" operator="notEqual" dxfId="0">
      <formula>0</formula>
    </cfRule>
    <cfRule type="cellIs" priority="6" operator="equal" dxfId="1">
      <formula>0</formula>
    </cfRule>
  </conditionalFormatting>
  <conditionalFormatting sqref="E14">
    <cfRule type="cellIs" priority="7" operator="notEqual" dxfId="0">
      <formula>0</formula>
    </cfRule>
    <cfRule type="cellIs" priority="8" operator="equal" dxfId="1">
      <formula>0</formula>
    </cfRule>
  </conditionalFormatting>
  <conditionalFormatting sqref="F14">
    <cfRule type="cellIs" priority="9" operator="notEqual" dxfId="0">
      <formula>0</formula>
    </cfRule>
    <cfRule type="cellIs" priority="10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Line Item (USD)</t>
        </is>
      </c>
      <c r="B1" s="3" t="inlineStr">
        <is>
          <t>Year 1</t>
        </is>
      </c>
      <c r="C1" s="3" t="inlineStr">
        <is>
          <t>Year 2</t>
        </is>
      </c>
      <c r="D1" s="3" t="inlineStr">
        <is>
          <t>Year 3</t>
        </is>
      </c>
      <c r="E1" s="3" t="inlineStr">
        <is>
          <t>Year 4</t>
        </is>
      </c>
      <c r="F1" s="3" t="inlineStr">
        <is>
          <t>Year 5</t>
        </is>
      </c>
    </row>
    <row r="2">
      <c r="A2" s="11" t="inlineStr">
        <is>
          <t>Net Income</t>
        </is>
      </c>
      <c r="B2" s="26">
        <f>'P&amp;L'!$B$13</f>
        <v/>
      </c>
      <c r="C2" s="26">
        <f>'P&amp;L'!$C$13</f>
        <v/>
      </c>
      <c r="D2" s="26">
        <f>'P&amp;L'!$D$13</f>
        <v/>
      </c>
      <c r="E2" s="26">
        <f>'P&amp;L'!$E$13</f>
        <v/>
      </c>
      <c r="F2" s="26">
        <f>'P&amp;L'!$F$13</f>
        <v/>
      </c>
    </row>
    <row r="3">
      <c r="A3" s="11" t="inlineStr">
        <is>
          <t xml:space="preserve">  + Depreciation &amp; Amortization</t>
        </is>
      </c>
      <c r="B3" s="26">
        <f>'P&amp;L'!$B$8</f>
        <v/>
      </c>
      <c r="C3" s="26">
        <f>'P&amp;L'!$C$8</f>
        <v/>
      </c>
      <c r="D3" s="26">
        <f>'P&amp;L'!$D$8</f>
        <v/>
      </c>
      <c r="E3" s="26">
        <f>'P&amp;L'!$E$8</f>
        <v/>
      </c>
      <c r="F3" s="26">
        <f>'P&amp;L'!$F$8</f>
        <v/>
      </c>
    </row>
    <row r="4">
      <c r="A4" s="11" t="inlineStr">
        <is>
          <t xml:space="preserve">  Δ Accounts Receivable</t>
        </is>
      </c>
      <c r="B4" s="22">
        <f>-('Balance Sheet'!$B$3-0)</f>
        <v/>
      </c>
      <c r="C4" s="22">
        <f>-('Balance Sheet'!$C$3-'Balance Sheet'!$B$3)</f>
        <v/>
      </c>
      <c r="D4" s="22">
        <f>-('Balance Sheet'!$D$3-'Balance Sheet'!$C$3)</f>
        <v/>
      </c>
      <c r="E4" s="22">
        <f>-('Balance Sheet'!$E$3-'Balance Sheet'!$D$3)</f>
        <v/>
      </c>
      <c r="F4" s="22">
        <f>-('Balance Sheet'!$F$3-'Balance Sheet'!$E$3)</f>
        <v/>
      </c>
    </row>
    <row r="5">
      <c r="A5" s="11" t="inlineStr">
        <is>
          <t xml:space="preserve">  Δ Inventory</t>
        </is>
      </c>
      <c r="B5" s="22">
        <f>-('Balance Sheet'!$B$4-0)</f>
        <v/>
      </c>
      <c r="C5" s="22">
        <f>-('Balance Sheet'!$C$4-'Balance Sheet'!$B$4)</f>
        <v/>
      </c>
      <c r="D5" s="22">
        <f>-('Balance Sheet'!$D$4-'Balance Sheet'!$C$4)</f>
        <v/>
      </c>
      <c r="E5" s="22">
        <f>-('Balance Sheet'!$E$4-'Balance Sheet'!$D$4)</f>
        <v/>
      </c>
      <c r="F5" s="22">
        <f>-('Balance Sheet'!$F$4-'Balance Sheet'!$E$4)</f>
        <v/>
      </c>
    </row>
    <row r="6">
      <c r="A6" s="11" t="inlineStr">
        <is>
          <t xml:space="preserve">  Δ Accounts Payable</t>
        </is>
      </c>
      <c r="B6" s="22">
        <f>'Balance Sheet'!$B$8-0</f>
        <v/>
      </c>
      <c r="C6" s="22">
        <f>'Balance Sheet'!$C$8-'Balance Sheet'!$B$8</f>
        <v/>
      </c>
      <c r="D6" s="22">
        <f>'Balance Sheet'!$D$8-'Balance Sheet'!$C$8</f>
        <v/>
      </c>
      <c r="E6" s="22">
        <f>'Balance Sheet'!$E$8-'Balance Sheet'!$D$8</f>
        <v/>
      </c>
      <c r="F6" s="22">
        <f>'Balance Sheet'!$F$8-'Balance Sheet'!$E$8</f>
        <v/>
      </c>
    </row>
    <row r="7">
      <c r="A7" s="23" t="inlineStr">
        <is>
          <t>Cash from Operations</t>
        </is>
      </c>
      <c r="B7" s="22">
        <f>'Cash Flow'!$B$2+'Cash Flow'!$B$3+'Cash Flow'!$B$4+'Cash Flow'!$B$5+'Cash Flow'!$B$6</f>
        <v/>
      </c>
      <c r="C7" s="22">
        <f>'Cash Flow'!$C$2+'Cash Flow'!$C$3+'Cash Flow'!$C$4+'Cash Flow'!$C$5+'Cash Flow'!$C$6</f>
        <v/>
      </c>
      <c r="D7" s="22">
        <f>'Cash Flow'!$D$2+'Cash Flow'!$D$3+'Cash Flow'!$D$4+'Cash Flow'!$D$5+'Cash Flow'!$D$6</f>
        <v/>
      </c>
      <c r="E7" s="22">
        <f>'Cash Flow'!$E$2+'Cash Flow'!$E$3+'Cash Flow'!$E$4+'Cash Flow'!$E$5+'Cash Flow'!$E$6</f>
        <v/>
      </c>
      <c r="F7" s="22">
        <f>'Cash Flow'!$F$2+'Cash Flow'!$F$3+'Cash Flow'!$F$4+'Cash Flow'!$F$5+'Cash Flow'!$F$6</f>
        <v/>
      </c>
    </row>
    <row r="8">
      <c r="A8" s="11" t="inlineStr">
        <is>
          <t xml:space="preserve">  Capital Expenditures</t>
        </is>
      </c>
      <c r="B8" s="22">
        <f>-('P&amp;L'!$B$2*'Control Panel'!$B$7)</f>
        <v/>
      </c>
      <c r="C8" s="22">
        <f>-('P&amp;L'!$C$2*'Control Panel'!$B$7)</f>
        <v/>
      </c>
      <c r="D8" s="22">
        <f>-('P&amp;L'!$D$2*'Control Panel'!$B$7)</f>
        <v/>
      </c>
      <c r="E8" s="22">
        <f>-('P&amp;L'!$E$2*'Control Panel'!$B$7)</f>
        <v/>
      </c>
      <c r="F8" s="22">
        <f>-('P&amp;L'!$F$2*'Control Panel'!$B$7)</f>
        <v/>
      </c>
    </row>
    <row r="9">
      <c r="A9" s="23" t="inlineStr">
        <is>
          <t>Cash from Investing</t>
        </is>
      </c>
      <c r="B9" s="22">
        <f>'Cash Flow'!$B$8</f>
        <v/>
      </c>
      <c r="C9" s="22">
        <f>'Cash Flow'!$C$8</f>
        <v/>
      </c>
      <c r="D9" s="22">
        <f>'Cash Flow'!$D$8</f>
        <v/>
      </c>
      <c r="E9" s="22">
        <f>'Cash Flow'!$E$8</f>
        <v/>
      </c>
      <c r="F9" s="22">
        <f>'Cash Flow'!$F$8</f>
        <v/>
      </c>
    </row>
    <row r="10">
      <c r="A10" s="11" t="inlineStr">
        <is>
          <t xml:space="preserve">  Debt Repayment</t>
        </is>
      </c>
      <c r="B10" s="22">
        <f>-('Balance Sheet'!$B$9-200000)</f>
        <v/>
      </c>
      <c r="C10" s="22">
        <f>-('Balance Sheet'!$C$9-'Balance Sheet'!$B$9)</f>
        <v/>
      </c>
      <c r="D10" s="22">
        <f>-('Balance Sheet'!$D$9-'Balance Sheet'!$C$9)</f>
        <v/>
      </c>
      <c r="E10" s="22">
        <f>-('Balance Sheet'!$E$9-'Balance Sheet'!$D$9)</f>
        <v/>
      </c>
      <c r="F10" s="22">
        <f>-('Balance Sheet'!$F$9-'Balance Sheet'!$E$9)</f>
        <v/>
      </c>
    </row>
    <row r="11">
      <c r="A11" s="23" t="inlineStr">
        <is>
          <t>Cash from Financing</t>
        </is>
      </c>
      <c r="B11" s="22">
        <f>'Cash Flow'!$B$10</f>
        <v/>
      </c>
      <c r="C11" s="22">
        <f>'Cash Flow'!$C$10</f>
        <v/>
      </c>
      <c r="D11" s="22">
        <f>'Cash Flow'!$D$10</f>
        <v/>
      </c>
      <c r="E11" s="22">
        <f>'Cash Flow'!$E$10</f>
        <v/>
      </c>
      <c r="F11" s="22">
        <f>'Cash Flow'!$F$10</f>
        <v/>
      </c>
    </row>
    <row r="12">
      <c r="A12" s="23" t="inlineStr">
        <is>
          <t>Net Change in Cash</t>
        </is>
      </c>
      <c r="B12" s="22">
        <f>'Cash Flow'!$B$7+'Cash Flow'!$B$9+'Cash Flow'!$B$11</f>
        <v/>
      </c>
      <c r="C12" s="22">
        <f>'Cash Flow'!$C$7+'Cash Flow'!$C$9+'Cash Flow'!$C$11</f>
        <v/>
      </c>
      <c r="D12" s="22">
        <f>'Cash Flow'!$D$7+'Cash Flow'!$D$9+'Cash Flow'!$D$11</f>
        <v/>
      </c>
      <c r="E12" s="22">
        <f>'Cash Flow'!$E$7+'Cash Flow'!$E$9+'Cash Flow'!$E$11</f>
        <v/>
      </c>
      <c r="F12" s="22">
        <f>'Cash Flow'!$F$7+'Cash Flow'!$F$9+'Cash Flow'!$F$11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DCF VALUATION (USD)</t>
        </is>
      </c>
      <c r="B1" s="27" t="n"/>
      <c r="C1" s="27" t="n"/>
      <c r="D1" s="27" t="n"/>
      <c r="E1" s="27" t="n"/>
      <c r="F1" s="4" t="n"/>
    </row>
    <row r="3">
      <c r="A3" s="19" t="inlineStr">
        <is>
          <t>WACC</t>
        </is>
      </c>
      <c r="B3" s="20">
        <f>'Control Panel'!$B$13</f>
        <v/>
      </c>
    </row>
    <row r="4">
      <c r="A4" s="19" t="inlineStr">
        <is>
          <t>Perpetual Growth</t>
        </is>
      </c>
      <c r="B4" s="20">
        <f>'Control Panel'!$B$14</f>
        <v/>
      </c>
    </row>
    <row r="6">
      <c r="A6" s="17" t="inlineStr">
        <is>
          <t>Free Cash Flow to Firm (FCFF)</t>
        </is>
      </c>
      <c r="B6" s="27" t="n"/>
      <c r="C6" s="27" t="n"/>
      <c r="D6" s="27" t="n"/>
      <c r="E6" s="27" t="n"/>
      <c r="F6" s="4" t="n"/>
    </row>
    <row r="7">
      <c r="B7" s="3" t="inlineStr">
        <is>
          <t>Year 1</t>
        </is>
      </c>
      <c r="C7" s="3" t="inlineStr">
        <is>
          <t>Year 2</t>
        </is>
      </c>
      <c r="D7" s="3" t="inlineStr">
        <is>
          <t>Year 3</t>
        </is>
      </c>
      <c r="E7" s="3" t="inlineStr">
        <is>
          <t>Year 4</t>
        </is>
      </c>
      <c r="F7" s="3" t="inlineStr">
        <is>
          <t>Year 5</t>
        </is>
      </c>
    </row>
    <row r="8">
      <c r="B8" s="22">
        <f>'P&amp;L'!$B$9*(1-'Control Panel'!$B$5)+'P&amp;L'!$B$8+'Cash Flow'!$B$4+'Cash Flow'!$B$5+'Cash Flow'!$B$6+'Cash Flow'!$B$8</f>
        <v/>
      </c>
      <c r="C8" s="22">
        <f>'P&amp;L'!$C$9*(1-'Control Panel'!$B$5)+'P&amp;L'!$C$8+'Cash Flow'!$C$4+'Cash Flow'!$C$5+'Cash Flow'!$C$6+'Cash Flow'!$C$8</f>
        <v/>
      </c>
      <c r="D8" s="22">
        <f>'P&amp;L'!$D$9*(1-'Control Panel'!$B$5)+'P&amp;L'!$D$8+'Cash Flow'!$D$4+'Cash Flow'!$D$5+'Cash Flow'!$D$6+'Cash Flow'!$D$8</f>
        <v/>
      </c>
      <c r="E8" s="22">
        <f>'P&amp;L'!$E$9*(1-'Control Panel'!$B$5)+'P&amp;L'!$E$8+'Cash Flow'!$E$4+'Cash Flow'!$E$5+'Cash Flow'!$E$6+'Cash Flow'!$E$8</f>
        <v/>
      </c>
      <c r="F8" s="22">
        <f>'P&amp;L'!$F$9*(1-'Control Panel'!$B$5)+'P&amp;L'!$F$8+'Cash Flow'!$F$4+'Cash Flow'!$F$5+'Cash Flow'!$F$6+'Cash Flow'!$F$8</f>
        <v/>
      </c>
    </row>
    <row r="10">
      <c r="A10" s="19" t="inlineStr">
        <is>
          <t>Terminal Value</t>
        </is>
      </c>
      <c r="B10" s="22">
        <f>IFERROR(('Valuation'!$F$8*(1+'Valuation'!$B$4))/('Valuation'!$B$3-'Valuation'!$B$4),"⚠ WACC ≤ g")</f>
        <v/>
      </c>
    </row>
    <row r="11">
      <c r="A11" s="19" t="inlineStr">
        <is>
          <t>Enterprise Value</t>
        </is>
      </c>
      <c r="B11" s="28">
        <f>IFERROR(NPV('Valuation'!$B$3,'Valuation'!$B$8:$F$8)+(B10/(1+'Valuation'!$B$3)^5),0)</f>
        <v/>
      </c>
    </row>
    <row r="12">
      <c r="A12" s="11" t="inlineStr">
        <is>
          <t>Less: Net Debt</t>
        </is>
      </c>
      <c r="B12" s="22">
        <f>'Balance Sheet'!$F$9-'Balance Sheet'!$F$2</f>
        <v/>
      </c>
    </row>
    <row r="13">
      <c r="A13" s="19" t="inlineStr">
        <is>
          <t>Equity Value</t>
        </is>
      </c>
      <c r="B13" s="29">
        <f>B11-B12</f>
        <v/>
      </c>
    </row>
    <row r="15">
      <c r="A15" s="11" t="inlineStr">
        <is>
          <t>Implied EV/Revenue (Yr 5)</t>
        </is>
      </c>
      <c r="B15" s="30">
        <f>IFERROR(B11/'P&amp;L'!$F$2,0)</f>
        <v/>
      </c>
    </row>
    <row r="16">
      <c r="A16" s="11" t="inlineStr">
        <is>
          <t>Implied EV/EBITDA (Yr 5)</t>
        </is>
      </c>
      <c r="B16" s="30">
        <f>IFERROR(B11/'P&amp;L'!$F$7,0)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6:F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Net Income Sensitivity – Year 5</t>
        </is>
      </c>
      <c r="B1" s="27" t="n"/>
      <c r="C1" s="27" t="n"/>
      <c r="D1" s="27" t="n"/>
      <c r="E1" s="27" t="n"/>
      <c r="F1" s="27" t="n"/>
      <c r="G1" s="27" t="n"/>
      <c r="H1" s="4" t="n"/>
    </row>
    <row r="2" ht="22" customHeight="1">
      <c r="A2" s="31" t="inlineStr">
        <is>
          <t>▶  Select B3:H10  →  Data  →  What-If Analysis  →  Data Table   |   Row input: 'Control Panel'!$B$24   |   Col input: 'Control Panel'!$B$25</t>
        </is>
      </c>
    </row>
    <row r="3">
      <c r="A3" s="32">
        <f>'P&amp;L'!$F$13</f>
        <v/>
      </c>
      <c r="B3" s="33" t="n">
        <v>0.35</v>
      </c>
      <c r="C3" s="33" t="n">
        <v>0.4</v>
      </c>
      <c r="D3" s="33" t="n">
        <v>0.45</v>
      </c>
      <c r="E3" s="33" t="n">
        <v>0.5</v>
      </c>
      <c r="F3" s="33" t="n">
        <v>0.55</v>
      </c>
      <c r="G3" s="33" t="n">
        <v>0.6</v>
      </c>
      <c r="H3" s="33" t="n">
        <v>0.65</v>
      </c>
    </row>
    <row r="4">
      <c r="A4" s="33" t="n">
        <v>0.02</v>
      </c>
      <c r="B4" s="34" t="inlineStr">
        <is>
          <t>—</t>
        </is>
      </c>
      <c r="C4" s="34" t="inlineStr">
        <is>
          <t>—</t>
        </is>
      </c>
      <c r="D4" s="34" t="inlineStr">
        <is>
          <t>—</t>
        </is>
      </c>
      <c r="E4" s="34" t="inlineStr">
        <is>
          <t>—</t>
        </is>
      </c>
      <c r="F4" s="34" t="inlineStr">
        <is>
          <t>—</t>
        </is>
      </c>
      <c r="G4" s="34" t="inlineStr">
        <is>
          <t>—</t>
        </is>
      </c>
      <c r="H4" s="34" t="inlineStr">
        <is>
          <t>—</t>
        </is>
      </c>
    </row>
    <row r="5">
      <c r="A5" s="33" t="n">
        <v>0.05</v>
      </c>
      <c r="B5" s="34" t="inlineStr">
        <is>
          <t>—</t>
        </is>
      </c>
      <c r="C5" s="34" t="inlineStr">
        <is>
          <t>—</t>
        </is>
      </c>
      <c r="D5" s="34" t="inlineStr">
        <is>
          <t>—</t>
        </is>
      </c>
      <c r="E5" s="34" t="inlineStr">
        <is>
          <t>—</t>
        </is>
      </c>
      <c r="F5" s="34" t="inlineStr">
        <is>
          <t>—</t>
        </is>
      </c>
      <c r="G5" s="34" t="inlineStr">
        <is>
          <t>—</t>
        </is>
      </c>
      <c r="H5" s="34" t="inlineStr">
        <is>
          <t>—</t>
        </is>
      </c>
    </row>
    <row r="6">
      <c r="A6" s="33" t="n">
        <v>0.08</v>
      </c>
      <c r="B6" s="34" t="inlineStr">
        <is>
          <t>—</t>
        </is>
      </c>
      <c r="C6" s="34" t="inlineStr">
        <is>
          <t>—</t>
        </is>
      </c>
      <c r="D6" s="34" t="inlineStr">
        <is>
          <t>—</t>
        </is>
      </c>
      <c r="E6" s="34" t="inlineStr">
        <is>
          <t>—</t>
        </is>
      </c>
      <c r="F6" s="34" t="inlineStr">
        <is>
          <t>—</t>
        </is>
      </c>
      <c r="G6" s="34" t="inlineStr">
        <is>
          <t>—</t>
        </is>
      </c>
      <c r="H6" s="34" t="inlineStr">
        <is>
          <t>—</t>
        </is>
      </c>
    </row>
    <row r="7">
      <c r="A7" s="33" t="n">
        <v>0.11</v>
      </c>
      <c r="B7" s="34" t="inlineStr">
        <is>
          <t>—</t>
        </is>
      </c>
      <c r="C7" s="34" t="inlineStr">
        <is>
          <t>—</t>
        </is>
      </c>
      <c r="D7" s="34" t="inlineStr">
        <is>
          <t>—</t>
        </is>
      </c>
      <c r="E7" s="34" t="inlineStr">
        <is>
          <t>—</t>
        </is>
      </c>
      <c r="F7" s="34" t="inlineStr">
        <is>
          <t>—</t>
        </is>
      </c>
      <c r="G7" s="34" t="inlineStr">
        <is>
          <t>—</t>
        </is>
      </c>
      <c r="H7" s="34" t="inlineStr">
        <is>
          <t>—</t>
        </is>
      </c>
    </row>
    <row r="8">
      <c r="A8" s="33" t="n">
        <v>0.14</v>
      </c>
      <c r="B8" s="34" t="inlineStr">
        <is>
          <t>—</t>
        </is>
      </c>
      <c r="C8" s="34" t="inlineStr">
        <is>
          <t>—</t>
        </is>
      </c>
      <c r="D8" s="34" t="inlineStr">
        <is>
          <t>—</t>
        </is>
      </c>
      <c r="E8" s="34" t="inlineStr">
        <is>
          <t>—</t>
        </is>
      </c>
      <c r="F8" s="34" t="inlineStr">
        <is>
          <t>—</t>
        </is>
      </c>
      <c r="G8" s="34" t="inlineStr">
        <is>
          <t>—</t>
        </is>
      </c>
      <c r="H8" s="34" t="inlineStr">
        <is>
          <t>—</t>
        </is>
      </c>
    </row>
    <row r="9">
      <c r="A9" s="33" t="n">
        <v>0.17</v>
      </c>
      <c r="B9" s="34" t="inlineStr">
        <is>
          <t>—</t>
        </is>
      </c>
      <c r="C9" s="34" t="inlineStr">
        <is>
          <t>—</t>
        </is>
      </c>
      <c r="D9" s="34" t="inlineStr">
        <is>
          <t>—</t>
        </is>
      </c>
      <c r="E9" s="34" t="inlineStr">
        <is>
          <t>—</t>
        </is>
      </c>
      <c r="F9" s="34" t="inlineStr">
        <is>
          <t>—</t>
        </is>
      </c>
      <c r="G9" s="34" t="inlineStr">
        <is>
          <t>—</t>
        </is>
      </c>
      <c r="H9" s="34" t="inlineStr">
        <is>
          <t>—</t>
        </is>
      </c>
    </row>
    <row r="10">
      <c r="A10" s="33" t="n">
        <v>0.2</v>
      </c>
      <c r="B10" s="34" t="inlineStr">
        <is>
          <t>—</t>
        </is>
      </c>
      <c r="C10" s="34" t="inlineStr">
        <is>
          <t>—</t>
        </is>
      </c>
      <c r="D10" s="34" t="inlineStr">
        <is>
          <t>—</t>
        </is>
      </c>
      <c r="E10" s="34" t="inlineStr">
        <is>
          <t>—</t>
        </is>
      </c>
      <c r="F10" s="34" t="inlineStr">
        <is>
          <t>—</t>
        </is>
      </c>
      <c r="G10" s="34" t="inlineStr">
        <is>
          <t>—</t>
        </is>
      </c>
      <c r="H10" s="34" t="inlineStr">
        <is>
          <t>—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2"/>
    <mergeCell ref="A1:H1"/>
  </mergeCells>
  <conditionalFormatting sqref="B4:H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>KEY PERFORMANCE INDICATORS</t>
        </is>
      </c>
      <c r="B1" s="27" t="n"/>
      <c r="C1" s="4" t="n"/>
    </row>
    <row r="2">
      <c r="A2" s="3" t="inlineStr">
        <is>
          <t>Metric</t>
        </is>
      </c>
      <c r="B2" s="3" t="inlineStr">
        <is>
          <t>Year 5 Value</t>
        </is>
      </c>
      <c r="C2" s="3" t="inlineStr">
        <is>
          <t>Flag / Commentary</t>
        </is>
      </c>
    </row>
    <row r="3">
      <c r="A3" s="19" t="inlineStr">
        <is>
          <t>Revenue CAGR  (Yr 1 → 5)</t>
        </is>
      </c>
      <c r="B3" s="20">
        <f>IFERROR(('P&amp;L'!$F$2/'P&amp;L'!$B$2)^(1/4)-1,0)</f>
        <v/>
      </c>
      <c r="C3" s="6">
        <f>IF('Insights'!B3&gt;0.15,"🚀 Strong","=IF"&amp;IF('Insights'!B3&gt;0.08,"✅ Solid","⚠ Below 8%"))</f>
        <v/>
      </c>
    </row>
    <row r="4">
      <c r="A4" s="19" t="inlineStr">
        <is>
          <t>EBITDA Margin</t>
        </is>
      </c>
      <c r="B4" s="20">
        <f>IFERROR('P&amp;L'!$F$7/'P&amp;L'!$F$2,0)</f>
        <v/>
      </c>
      <c r="C4" s="6">
        <f>IF('Insights'!B4&gt;=0.2,"✅ Healthy  (≥20%)","⚠ Below 20% — watch costs")</f>
        <v/>
      </c>
    </row>
    <row r="5">
      <c r="A5" s="19" t="inlineStr">
        <is>
          <t>Net Income Margin</t>
        </is>
      </c>
      <c r="B5" s="20">
        <f>IFERROR('P&amp;L'!$F$13/'P&amp;L'!$F$2,0)</f>
        <v/>
      </c>
      <c r="C5" s="6">
        <f>IF('Insights'!B5&gt;=0.1,"✅ Solid  (≥10%)","⚠ Below 10%")</f>
        <v/>
      </c>
    </row>
    <row r="6">
      <c r="A6" s="19" t="inlineStr">
        <is>
          <t>Gross Margin</t>
        </is>
      </c>
      <c r="B6" s="20">
        <f>IFERROR(1-'Control Panel'!$B$25,0)</f>
        <v/>
      </c>
      <c r="C6" s="6">
        <f>IF(1-'Control Panel'!$B$25&gt;=0.5,"✅ Strong  (≥50%)","⚠ Below 50%")</f>
        <v/>
      </c>
    </row>
    <row r="7">
      <c r="A7" s="19" t="inlineStr">
        <is>
          <t>Profitable  (Year 5)?</t>
        </is>
      </c>
      <c r="B7" s="6">
        <f>IF('P&amp;L'!$F$13&gt;0,"✅  Yes","❌  No")</f>
        <v/>
      </c>
    </row>
    <row r="8">
      <c r="A8" s="19" t="inlineStr">
        <is>
          <t>Ending Cash</t>
        </is>
      </c>
      <c r="B8" s="22">
        <f>'Balance Sheet'!$F$2</f>
        <v/>
      </c>
      <c r="C8" s="6">
        <f>IF('Balance Sheet'!$F$2&gt;0,"✅ Positive","❌ NEGATIVE — model may be breaking")</f>
        <v/>
      </c>
    </row>
    <row r="9">
      <c r="A9" s="19" t="inlineStr">
        <is>
          <t>Cash Runway  (years)</t>
        </is>
      </c>
      <c r="B9" s="6">
        <f>IFERROR(IF('Cash Flow'!$F$12&lt;0,'Balance Sheet'!$F$2/ABS('Cash Flow'!$F$12),"∞  (positive CF)"),"N/A")</f>
        <v/>
      </c>
      <c r="C9" s="6" t="inlineStr">
        <is>
          <t>Years of cash at Year 5 burn rate</t>
        </is>
      </c>
    </row>
    <row r="10">
      <c r="A10" s="19" t="inlineStr">
        <is>
          <t>Break-Even Year</t>
        </is>
      </c>
      <c r="B10" s="6">
        <f>IFERROR(MATCH(TRUE,INDEX('P&amp;L'!$B$13:$F$13&gt;0,),0),"Not in forecast")</f>
        <v/>
      </c>
      <c r="C10" s="6" t="inlineStr">
        <is>
          <t>First year Net Income &gt; 0</t>
        </is>
      </c>
    </row>
    <row r="11">
      <c r="A11" s="19" t="inlineStr">
        <is>
          <t>Active Scenario</t>
        </is>
      </c>
      <c r="B11" s="6">
        <f>'Control Panel'!$B$23</f>
        <v/>
      </c>
      <c r="C11" s="6">
        <f>"Base,Best,Worst available"</f>
        <v/>
      </c>
    </row>
    <row r="12">
      <c r="A12" s="19" t="inlineStr">
        <is>
          <t>Active Revenue Growth</t>
        </is>
      </c>
      <c r="B12" s="20">
        <f>'Control Panel'!$B$24</f>
        <v/>
      </c>
      <c r="C12" s="6">
        <f>IF('Control Panel'!$B$24&gt;0.18,"⚠ Very aggressive","✅ Plausible")</f>
        <v/>
      </c>
    </row>
    <row r="13">
      <c r="A13" s="19" t="inlineStr">
        <is>
          <t>Sources &amp; Uses Check</t>
        </is>
      </c>
      <c r="B13" s="22">
        <f>IFERROR('Balance Sheet'!$F$2-(150000+SUMPRODUCT(('Cash Flow'!$C$12:$F$12)*1)),0)</f>
        <v/>
      </c>
      <c r="C13" s="6">
        <f>IF(ABS(IFERROR('Balance Sheet'!$F$2-(150000+SUMPRODUCT(('Cash Flow'!$C$12:$F$12)*1)),0))&lt;1,"✅ Cash reconciles","❌ Cash reconciliation error")</f>
        <v/>
      </c>
    </row>
    <row r="14">
      <c r="A14" s="19" t="inlineStr">
        <is>
          <t>Balance Check</t>
        </is>
      </c>
      <c r="B14" s="22">
        <f>SUM('Balance Sheet'!$B$14:$F$14)</f>
        <v/>
      </c>
      <c r="C14" s="6">
        <f>IF(ABS(SUM('Balance Sheet'!$B$14:$F$14))&lt;1,"✅ Balanced","❌ Out of balance — fix Balance Sheet")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35" t="inlineStr">
        <is>
          <t>MODEL DASHBOARD</t>
        </is>
      </c>
    </row>
    <row r="35" ht="0.1" customHeight="1">
      <c r="B35" s="20">
        <f>IFERROR('P&amp;L'!$B$7/'P&amp;L'!$B$2,0)</f>
        <v/>
      </c>
      <c r="C35" s="20">
        <f>IFERROR('P&amp;L'!$C$7/'P&amp;L'!$C$2,0)</f>
        <v/>
      </c>
      <c r="D35" s="20">
        <f>IFERROR('P&amp;L'!$D$7/'P&amp;L'!$D$2,0)</f>
        <v/>
      </c>
      <c r="E35" s="20">
        <f>IFERROR('P&amp;L'!$E$7/'P&amp;L'!$E$2,0)</f>
        <v/>
      </c>
      <c r="F35" s="20">
        <f>IFERROR('P&amp;L'!$F$7/'P&amp;L'!$F$2,0)</f>
        <v/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2026-04-09T10:50:59Z</dcterms:created>
  <dcterms:modified xmlns:dcterms="http://purl.org/dc/terms/" xmlns:xsi="http://www.w3.org/2001/XMLSchema-instance" xsi:type="dcterms:W3CDTF">2026-04-09T10:50:59Z</dcterms:modified>
</cp:coreProperties>
</file>